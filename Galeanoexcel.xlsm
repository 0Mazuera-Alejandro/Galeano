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yma\Downloads\Galeanoo\"/>
    </mc:Choice>
  </mc:AlternateContent>
  <xr:revisionPtr revIDLastSave="0" documentId="13_ncr:1_{C091980E-66FE-495F-9FFA-14678A36B19C}" xr6:coauthVersionLast="47" xr6:coauthVersionMax="47" xr10:uidLastSave="{00000000-0000-0000-0000-000000000000}"/>
  <bookViews>
    <workbookView xWindow="-120" yWindow="-120" windowWidth="20730" windowHeight="11160" xr2:uid="{2F22625A-09F5-4A28-8B74-44A2126E88BB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1" l="1"/>
  <c r="F16" i="1"/>
  <c r="E16" i="1"/>
  <c r="D16" i="1"/>
  <c r="C16" i="1"/>
</calcChain>
</file>

<file path=xl/sharedStrings.xml><?xml version="1.0" encoding="utf-8"?>
<sst xmlns="http://schemas.openxmlformats.org/spreadsheetml/2006/main" count="37" uniqueCount="22">
  <si>
    <t>Ventilador</t>
  </si>
  <si>
    <t>Buzzer</t>
  </si>
  <si>
    <t>Correo</t>
  </si>
  <si>
    <t>Mqtt(Adafruit.io)</t>
  </si>
  <si>
    <t>1=encendido</t>
  </si>
  <si>
    <t>0=apagado</t>
  </si>
  <si>
    <t>Medida del sensor de gas</t>
  </si>
  <si>
    <t>1=enviar correo</t>
  </si>
  <si>
    <t>0=no enviar correo</t>
  </si>
  <si>
    <t>1=confirmacion de encendido el sistema</t>
  </si>
  <si>
    <t>0=Sistema apagado</t>
  </si>
  <si>
    <t>.</t>
  </si>
  <si>
    <t>Led</t>
  </si>
  <si>
    <t>SALIDA</t>
  </si>
  <si>
    <t>ENTRADA</t>
  </si>
  <si>
    <t>MQ-6</t>
  </si>
  <si>
    <t>correo</t>
  </si>
  <si>
    <t>Funcionamiento ideal</t>
  </si>
  <si>
    <t>nivel del gas</t>
  </si>
  <si>
    <t>1111=15</t>
  </si>
  <si>
    <t>Logica</t>
  </si>
  <si>
    <t>0000=0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</si>
</sst>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Nivel de gas en el tiempo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Hoja1!$AC$3:$AC$18</c:f>
              <c:numCache>
                <c:formatCode>General</c:formatCode>
                <c:ptCount val="16"/>
                <c:pt idx="0">
                  <c:v>2</c:v>
                </c:pt>
                <c:pt idx="1">
                  <c:v>7</c:v>
                </c:pt>
                <c:pt idx="2">
                  <c:v>9</c:v>
                </c:pt>
                <c:pt idx="3">
                  <c:v>2</c:v>
                </c:pt>
                <c:pt idx="4">
                  <c:v>3</c:v>
                </c:pt>
                <c:pt idx="5">
                  <c:v>15</c:v>
                </c:pt>
                <c:pt idx="6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F4-4579-8330-5C75F2268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973888"/>
        <c:axId val="325976768"/>
      </c:scatterChart>
      <c:valAx>
        <c:axId val="32597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5976768"/>
        <c:crosses val="autoZero"/>
        <c:crossBetween val="midCat"/>
      </c:valAx>
      <c:valAx>
        <c:axId val="3259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597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181447</xdr:rowOff>
    </xdr:from>
    <xdr:to>
      <xdr:col>11</xdr:col>
      <xdr:colOff>987777</xdr:colOff>
      <xdr:row>9</xdr:row>
      <xdr:rowOff>35279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A7632AB1-E64F-71BB-E309-23F32EE8AD54}"/>
            </a:ext>
          </a:extLst>
        </xdr:cNvPr>
        <xdr:cNvSpPr txBox="1"/>
      </xdr:nvSpPr>
      <xdr:spPr>
        <a:xfrm>
          <a:off x="5867870" y="181447"/>
          <a:ext cx="2681111" cy="17353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 kern="1200"/>
            <a:t>se maneja por 4 bit para fines practicos en este ejemplo de funcionamiento, porque el codigo esta sujeto a </a:t>
          </a:r>
          <a:r>
            <a:rPr lang="es-CO"/>
            <a:t>t</a:t>
          </a:r>
          <a:r>
            <a:rPr lang="es-CO" sz="1100" kern="1200"/>
            <a:t>res niveles de alerta;       0&lt;nivel base&lt;29    30=&gt;75   75=&gt;infinito</a:t>
          </a:r>
          <a:br>
            <a:rPr lang="es-CO" sz="1100" kern="1200"/>
          </a:br>
          <a:r>
            <a:rPr lang="es-CO" sz="1100" kern="1200"/>
            <a:t>Pero como se menciona; por fines pracicos se usa:</a:t>
          </a:r>
        </a:p>
        <a:p>
          <a:r>
            <a:rPr lang="es-CO" sz="1100" kern="1200"/>
            <a:t>0&lt;nivel base&lt;5</a:t>
          </a:r>
          <a:br>
            <a:rPr lang="es-CO" sz="1100" kern="1200"/>
          </a:br>
          <a:r>
            <a:rPr lang="es-CO" sz="1100" kern="1200"/>
            <a:t>6=&gt;8</a:t>
          </a:r>
          <a:br>
            <a:rPr lang="es-CO" sz="1100" kern="1200"/>
          </a:br>
          <a:r>
            <a:rPr lang="es-CO" sz="1100" kern="1200"/>
            <a:t>9=&gt;15</a:t>
          </a:r>
        </a:p>
      </xdr:txBody>
    </xdr:sp>
    <xdr:clientData/>
  </xdr:twoCellAnchor>
  <xdr:oneCellAnchor>
    <xdr:from>
      <xdr:col>26</xdr:col>
      <xdr:colOff>10560</xdr:colOff>
      <xdr:row>2</xdr:row>
      <xdr:rowOff>40089</xdr:rowOff>
    </xdr:from>
    <xdr:ext cx="1643429" cy="814021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5AEBC36D-9BE3-B4F4-8F23-C9D985DE9E04}"/>
            </a:ext>
          </a:extLst>
        </xdr:cNvPr>
        <xdr:cNvSpPr txBox="1"/>
      </xdr:nvSpPr>
      <xdr:spPr>
        <a:xfrm>
          <a:off x="15163969" y="230589"/>
          <a:ext cx="1643429" cy="81402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CO" sz="1100" kern="1200"/>
            <a:t>si el sensor esa en 0 significa que esa apagado el sis</a:t>
          </a:r>
          <a:r>
            <a:rPr lang="es-CO"/>
            <a:t>tema</a:t>
          </a:r>
          <a:r>
            <a:rPr lang="es-CO" sz="1100" kern="1200"/>
            <a:t> para fines pracicos.</a:t>
          </a:r>
        </a:p>
        <a:p>
          <a:endParaRPr lang="es-CO" sz="1100" kern="1200"/>
        </a:p>
      </xdr:txBody>
    </xdr:sp>
    <xdr:clientData/>
  </xdr:oneCellAnchor>
  <xdr:twoCellAnchor>
    <xdr:from>
      <xdr:col>0</xdr:col>
      <xdr:colOff>36453</xdr:colOff>
      <xdr:row>16</xdr:row>
      <xdr:rowOff>186502</xdr:rowOff>
    </xdr:from>
    <xdr:to>
      <xdr:col>5</xdr:col>
      <xdr:colOff>445675</xdr:colOff>
      <xdr:row>31</xdr:row>
      <xdr:rowOff>107480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9D6229-DA59-EEDE-B76C-90FC0D13D3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A8F94-BBA7-465A-8C19-71275972DB83}">
  <sheetPr codeName="Hoja1"/>
  <dimension ref="A1:AC19"/>
  <sheetViews>
    <sheetView tabSelected="1" topLeftCell="A2" zoomScale="81" zoomScaleNormal="115" workbookViewId="0">
      <selection activeCell="H18" sqref="H18"/>
    </sheetView>
  </sheetViews>
  <sheetFormatPr baseColWidth="10" defaultRowHeight="15" x14ac:dyDescent="0.25"/>
  <cols>
    <col min="1" max="1" width="14.85546875" bestFit="1" customWidth="1"/>
    <col min="2" max="2" width="14.85546875" customWidth="1"/>
    <col min="3" max="3" width="10.140625" bestFit="1" customWidth="1"/>
    <col min="4" max="4" width="7" bestFit="1" customWidth="1"/>
    <col min="5" max="5" width="15.5703125" bestFit="1" customWidth="1"/>
    <col min="6" max="6" width="23.5703125" bestFit="1" customWidth="1"/>
    <col min="7" max="7" width="6.85546875" bestFit="1" customWidth="1"/>
    <col min="8" max="8" width="2.7109375" customWidth="1"/>
    <col min="9" max="9" width="3.140625" customWidth="1"/>
    <col min="10" max="10" width="10.140625" bestFit="1" customWidth="1"/>
    <col min="11" max="11" width="6.7109375" bestFit="1" customWidth="1"/>
    <col min="12" max="12" width="15.5703125" bestFit="1" customWidth="1"/>
    <col min="13" max="13" width="4" bestFit="1" customWidth="1"/>
    <col min="14" max="14" width="6.7109375" bestFit="1" customWidth="1"/>
    <col min="15" max="17" width="2" bestFit="1" customWidth="1"/>
    <col min="18" max="18" width="3" bestFit="1" customWidth="1"/>
    <col min="19" max="21" width="2.28515625" bestFit="1" customWidth="1"/>
    <col min="22" max="22" width="10.140625" bestFit="1" customWidth="1"/>
    <col min="23" max="23" width="6.7109375" bestFit="1" customWidth="1"/>
    <col min="24" max="24" width="15.5703125" bestFit="1" customWidth="1"/>
    <col min="25" max="25" width="4.28515625" bestFit="1" customWidth="1"/>
    <col min="26" max="26" width="6.7109375" bestFit="1" customWidth="1"/>
    <col min="29" max="29" width="11.42578125" style="21"/>
  </cols>
  <sheetData>
    <row r="1" spans="1:29" hidden="1" x14ac:dyDescent="0.25"/>
    <row r="2" spans="1:29" x14ac:dyDescent="0.25">
      <c r="A2" s="6" t="s">
        <v>20</v>
      </c>
      <c r="B2" s="6" t="s">
        <v>0</v>
      </c>
      <c r="C2" s="6" t="s">
        <v>1</v>
      </c>
      <c r="D2" s="6" t="s">
        <v>12</v>
      </c>
      <c r="F2" s="7" t="s">
        <v>6</v>
      </c>
      <c r="R2" s="17" t="s">
        <v>14</v>
      </c>
      <c r="S2" s="17"/>
      <c r="T2" s="17"/>
      <c r="U2" s="17"/>
      <c r="V2" s="17" t="s">
        <v>13</v>
      </c>
      <c r="W2" s="17"/>
      <c r="X2" s="17"/>
      <c r="Y2" s="17"/>
      <c r="Z2" s="17"/>
    </row>
    <row r="3" spans="1:29" x14ac:dyDescent="0.25">
      <c r="A3" s="1" t="s">
        <v>4</v>
      </c>
      <c r="B3" s="5">
        <v>1</v>
      </c>
      <c r="C3" s="5">
        <v>1</v>
      </c>
      <c r="D3" s="5">
        <v>1</v>
      </c>
      <c r="F3" s="4" t="s">
        <v>19</v>
      </c>
      <c r="R3" s="18" t="s">
        <v>15</v>
      </c>
      <c r="S3" s="18"/>
      <c r="T3" s="18"/>
      <c r="U3" s="19"/>
      <c r="V3" s="8" t="s">
        <v>0</v>
      </c>
      <c r="W3" s="8" t="s">
        <v>1</v>
      </c>
      <c r="X3" s="15" t="s">
        <v>3</v>
      </c>
      <c r="Y3" s="8" t="s">
        <v>12</v>
      </c>
      <c r="Z3" s="8" t="s">
        <v>16</v>
      </c>
      <c r="AC3" s="21">
        <v>2</v>
      </c>
    </row>
    <row r="4" spans="1:29" x14ac:dyDescent="0.25">
      <c r="A4" s="1" t="s">
        <v>5</v>
      </c>
      <c r="B4" s="5">
        <v>0</v>
      </c>
      <c r="C4" s="5">
        <v>0</v>
      </c>
      <c r="D4" s="5">
        <v>0</v>
      </c>
      <c r="F4" s="4" t="s">
        <v>11</v>
      </c>
      <c r="R4" s="9">
        <v>0</v>
      </c>
      <c r="S4" s="10">
        <v>0</v>
      </c>
      <c r="T4" s="10">
        <v>0</v>
      </c>
      <c r="U4" s="10">
        <v>0</v>
      </c>
      <c r="V4" s="5">
        <v>0</v>
      </c>
      <c r="W4" s="5">
        <v>0</v>
      </c>
      <c r="X4" s="10">
        <v>0</v>
      </c>
      <c r="Y4" s="5">
        <v>0</v>
      </c>
      <c r="Z4" s="11">
        <v>0</v>
      </c>
      <c r="AC4" s="21">
        <v>7</v>
      </c>
    </row>
    <row r="5" spans="1:29" x14ac:dyDescent="0.25">
      <c r="A5" s="2"/>
      <c r="B5" s="4"/>
      <c r="C5" s="4"/>
      <c r="D5" s="4"/>
      <c r="F5" s="4" t="s">
        <v>11</v>
      </c>
      <c r="R5" s="9">
        <v>0</v>
      </c>
      <c r="S5" s="10">
        <v>0</v>
      </c>
      <c r="T5" s="10">
        <v>0</v>
      </c>
      <c r="U5" s="10">
        <v>1</v>
      </c>
      <c r="V5" s="5">
        <v>0</v>
      </c>
      <c r="W5" s="5">
        <v>0</v>
      </c>
      <c r="X5" s="10">
        <v>1</v>
      </c>
      <c r="Y5" s="5">
        <v>1</v>
      </c>
      <c r="Z5" s="11">
        <v>0</v>
      </c>
      <c r="AC5" s="21">
        <v>9</v>
      </c>
    </row>
    <row r="6" spans="1:29" x14ac:dyDescent="0.25">
      <c r="A6" s="6" t="s">
        <v>20</v>
      </c>
      <c r="B6" s="6" t="s">
        <v>2</v>
      </c>
      <c r="C6" s="4"/>
      <c r="D6" s="4"/>
      <c r="F6" s="4" t="s">
        <v>11</v>
      </c>
      <c r="R6" s="12">
        <v>0</v>
      </c>
      <c r="S6" s="13">
        <v>0</v>
      </c>
      <c r="T6" s="13">
        <v>1</v>
      </c>
      <c r="U6" s="13">
        <v>0</v>
      </c>
      <c r="V6" s="16">
        <v>0</v>
      </c>
      <c r="W6" s="16">
        <v>0</v>
      </c>
      <c r="X6" s="13">
        <v>1</v>
      </c>
      <c r="Y6" s="16">
        <v>1</v>
      </c>
      <c r="Z6" s="14">
        <v>0</v>
      </c>
      <c r="AC6" s="21">
        <v>2</v>
      </c>
    </row>
    <row r="7" spans="1:29" x14ac:dyDescent="0.25">
      <c r="A7" s="1" t="s">
        <v>7</v>
      </c>
      <c r="B7" s="5">
        <v>1</v>
      </c>
      <c r="C7" s="4"/>
      <c r="D7" s="4"/>
      <c r="F7" s="4" t="s">
        <v>11</v>
      </c>
      <c r="R7" s="9">
        <v>0</v>
      </c>
      <c r="S7" s="10">
        <v>0</v>
      </c>
      <c r="T7" s="10">
        <v>1</v>
      </c>
      <c r="U7" s="10">
        <v>1</v>
      </c>
      <c r="V7" s="5">
        <v>0</v>
      </c>
      <c r="W7" s="5">
        <v>0</v>
      </c>
      <c r="X7" s="10">
        <v>1</v>
      </c>
      <c r="Y7" s="5">
        <v>1</v>
      </c>
      <c r="Z7" s="11">
        <v>0</v>
      </c>
      <c r="AC7" s="21">
        <v>3</v>
      </c>
    </row>
    <row r="8" spans="1:29" ht="30" x14ac:dyDescent="0.25">
      <c r="A8" s="1" t="s">
        <v>8</v>
      </c>
      <c r="B8" s="5">
        <v>0</v>
      </c>
      <c r="C8" s="4"/>
      <c r="D8" s="4"/>
      <c r="F8" s="4" t="s">
        <v>11</v>
      </c>
      <c r="R8" s="12">
        <v>0</v>
      </c>
      <c r="S8" s="13">
        <v>1</v>
      </c>
      <c r="T8" s="13">
        <v>0</v>
      </c>
      <c r="U8" s="13">
        <v>0</v>
      </c>
      <c r="V8" s="16">
        <v>0</v>
      </c>
      <c r="W8" s="16">
        <v>0</v>
      </c>
      <c r="X8" s="13">
        <v>1</v>
      </c>
      <c r="Y8" s="16">
        <v>1</v>
      </c>
      <c r="Z8" s="14">
        <v>0</v>
      </c>
      <c r="AC8" s="21">
        <v>15</v>
      </c>
    </row>
    <row r="9" spans="1:29" x14ac:dyDescent="0.25">
      <c r="A9" s="2"/>
      <c r="B9" s="4"/>
      <c r="C9" s="4"/>
      <c r="D9" s="4"/>
      <c r="F9" s="4" t="s">
        <v>21</v>
      </c>
      <c r="R9" s="9">
        <v>0</v>
      </c>
      <c r="S9" s="10">
        <v>1</v>
      </c>
      <c r="T9" s="10">
        <v>0</v>
      </c>
      <c r="U9" s="10">
        <v>1</v>
      </c>
      <c r="V9" s="5">
        <v>0</v>
      </c>
      <c r="W9" s="5">
        <v>0</v>
      </c>
      <c r="X9" s="10">
        <v>1</v>
      </c>
      <c r="Y9" s="5">
        <v>1</v>
      </c>
      <c r="Z9" s="11">
        <v>0</v>
      </c>
      <c r="AC9" s="21">
        <v>4</v>
      </c>
    </row>
    <row r="10" spans="1:29" x14ac:dyDescent="0.25">
      <c r="A10" s="6" t="s">
        <v>20</v>
      </c>
      <c r="B10" s="6" t="s">
        <v>3</v>
      </c>
      <c r="C10" s="4"/>
      <c r="D10" s="4"/>
      <c r="R10" s="9">
        <v>0</v>
      </c>
      <c r="S10" s="10">
        <v>1</v>
      </c>
      <c r="T10" s="10">
        <v>1</v>
      </c>
      <c r="U10" s="10">
        <v>0</v>
      </c>
      <c r="V10" s="5">
        <v>1</v>
      </c>
      <c r="W10" s="5">
        <v>0</v>
      </c>
      <c r="X10" s="10">
        <v>1</v>
      </c>
      <c r="Y10" s="5">
        <v>1</v>
      </c>
      <c r="Z10" s="11">
        <v>0</v>
      </c>
    </row>
    <row r="11" spans="1:29" ht="45" x14ac:dyDescent="0.25">
      <c r="A11" s="3" t="s">
        <v>9</v>
      </c>
      <c r="B11" s="5">
        <v>1</v>
      </c>
      <c r="C11" s="4"/>
      <c r="D11" s="4"/>
      <c r="R11" s="9">
        <v>0</v>
      </c>
      <c r="S11" s="10">
        <v>1</v>
      </c>
      <c r="T11" s="10">
        <v>1</v>
      </c>
      <c r="U11" s="10">
        <v>1</v>
      </c>
      <c r="V11" s="5">
        <v>1</v>
      </c>
      <c r="W11" s="5">
        <v>0</v>
      </c>
      <c r="X11" s="10">
        <v>1</v>
      </c>
      <c r="Y11" s="5">
        <v>1</v>
      </c>
      <c r="Z11" s="11">
        <v>0</v>
      </c>
    </row>
    <row r="12" spans="1:29" ht="30" x14ac:dyDescent="0.25">
      <c r="A12" s="1" t="s">
        <v>10</v>
      </c>
      <c r="B12" s="5">
        <v>0</v>
      </c>
      <c r="C12" s="4"/>
      <c r="D12" s="4"/>
      <c r="R12" s="9">
        <v>1</v>
      </c>
      <c r="S12" s="10">
        <v>0</v>
      </c>
      <c r="T12" s="10">
        <v>0</v>
      </c>
      <c r="U12" s="10">
        <v>0</v>
      </c>
      <c r="V12" s="5">
        <v>1</v>
      </c>
      <c r="W12" s="5">
        <v>0</v>
      </c>
      <c r="X12" s="10">
        <v>1</v>
      </c>
      <c r="Y12" s="5">
        <v>1</v>
      </c>
      <c r="Z12" s="11">
        <v>0</v>
      </c>
    </row>
    <row r="13" spans="1:29" x14ac:dyDescent="0.25">
      <c r="R13" s="9">
        <v>1</v>
      </c>
      <c r="S13" s="10">
        <v>0</v>
      </c>
      <c r="T13" s="10">
        <v>0</v>
      </c>
      <c r="U13" s="10">
        <v>1</v>
      </c>
      <c r="V13" s="5">
        <v>1</v>
      </c>
      <c r="W13" s="5">
        <v>1</v>
      </c>
      <c r="X13" s="10">
        <v>1</v>
      </c>
      <c r="Y13" s="5">
        <v>1</v>
      </c>
      <c r="Z13" s="11">
        <v>1</v>
      </c>
    </row>
    <row r="14" spans="1:29" x14ac:dyDescent="0.25">
      <c r="A14" s="20" t="s">
        <v>17</v>
      </c>
      <c r="B14" s="20"/>
      <c r="C14" s="20"/>
      <c r="D14" s="20"/>
      <c r="E14" s="20"/>
      <c r="F14" s="20"/>
      <c r="G14" s="20"/>
      <c r="R14" s="9">
        <v>1</v>
      </c>
      <c r="S14" s="10">
        <v>0</v>
      </c>
      <c r="T14" s="10">
        <v>1</v>
      </c>
      <c r="U14" s="10">
        <v>0</v>
      </c>
      <c r="V14" s="5">
        <v>1</v>
      </c>
      <c r="W14" s="5">
        <v>1</v>
      </c>
      <c r="X14" s="10">
        <v>1</v>
      </c>
      <c r="Y14" s="5">
        <v>1</v>
      </c>
      <c r="Z14" s="11">
        <v>1</v>
      </c>
    </row>
    <row r="15" spans="1:29" x14ac:dyDescent="0.25">
      <c r="A15" s="6" t="s">
        <v>18</v>
      </c>
      <c r="B15" s="6"/>
      <c r="C15" s="6" t="s">
        <v>0</v>
      </c>
      <c r="D15" s="6" t="s">
        <v>1</v>
      </c>
      <c r="E15" s="6" t="s">
        <v>3</v>
      </c>
      <c r="F15" s="6" t="s">
        <v>12</v>
      </c>
      <c r="G15" s="6" t="s">
        <v>16</v>
      </c>
      <c r="R15" s="9">
        <v>1</v>
      </c>
      <c r="S15" s="10">
        <v>0</v>
      </c>
      <c r="T15" s="10">
        <v>1</v>
      </c>
      <c r="U15" s="10">
        <v>1</v>
      </c>
      <c r="V15" s="5">
        <v>1</v>
      </c>
      <c r="W15" s="5">
        <v>1</v>
      </c>
      <c r="X15" s="10">
        <v>1</v>
      </c>
      <c r="Y15" s="5">
        <v>1</v>
      </c>
      <c r="Z15" s="11">
        <v>1</v>
      </c>
    </row>
    <row r="16" spans="1:29" x14ac:dyDescent="0.25">
      <c r="A16" s="5">
        <v>4</v>
      </c>
      <c r="B16" s="13"/>
      <c r="C16" s="5">
        <f>IF($A$16&gt;5, 1, 0)</f>
        <v>0</v>
      </c>
      <c r="D16" s="5">
        <f>IF($A$16&gt;8, 1, 0)</f>
        <v>0</v>
      </c>
      <c r="E16" s="5">
        <f>IF($A$16&gt;0, 1, 0)</f>
        <v>1</v>
      </c>
      <c r="F16" s="5">
        <f>IF($A$16&gt;0, 1, 0)</f>
        <v>1</v>
      </c>
      <c r="G16" s="5">
        <f>IF($A$16&gt;8, 1, 0)</f>
        <v>0</v>
      </c>
      <c r="R16" s="9">
        <v>1</v>
      </c>
      <c r="S16" s="10">
        <v>1</v>
      </c>
      <c r="T16" s="10">
        <v>0</v>
      </c>
      <c r="U16" s="10">
        <v>0</v>
      </c>
      <c r="V16" s="5">
        <v>1</v>
      </c>
      <c r="W16" s="5">
        <v>1</v>
      </c>
      <c r="X16" s="10">
        <v>1</v>
      </c>
      <c r="Y16" s="5">
        <v>1</v>
      </c>
      <c r="Z16" s="11">
        <v>1</v>
      </c>
    </row>
    <row r="17" spans="18:26" x14ac:dyDescent="0.25">
      <c r="R17" s="9">
        <v>1</v>
      </c>
      <c r="S17" s="10">
        <v>1</v>
      </c>
      <c r="T17" s="10">
        <v>0</v>
      </c>
      <c r="U17" s="10">
        <v>1</v>
      </c>
      <c r="V17" s="5">
        <v>1</v>
      </c>
      <c r="W17" s="5">
        <v>1</v>
      </c>
      <c r="X17" s="10">
        <v>1</v>
      </c>
      <c r="Y17" s="5">
        <v>1</v>
      </c>
      <c r="Z17" s="11">
        <v>1</v>
      </c>
    </row>
    <row r="18" spans="18:26" x14ac:dyDescent="0.25">
      <c r="R18" s="9">
        <v>1</v>
      </c>
      <c r="S18" s="10">
        <v>1</v>
      </c>
      <c r="T18" s="10">
        <v>1</v>
      </c>
      <c r="U18" s="10">
        <v>0</v>
      </c>
      <c r="V18" s="5">
        <v>1</v>
      </c>
      <c r="W18" s="5">
        <v>1</v>
      </c>
      <c r="X18" s="10">
        <v>1</v>
      </c>
      <c r="Y18" s="5">
        <v>1</v>
      </c>
      <c r="Z18" s="11">
        <v>1</v>
      </c>
    </row>
    <row r="19" spans="18:26" x14ac:dyDescent="0.25">
      <c r="R19" s="9">
        <v>1</v>
      </c>
      <c r="S19" s="10">
        <v>1</v>
      </c>
      <c r="T19" s="10">
        <v>1</v>
      </c>
      <c r="U19" s="10">
        <v>1</v>
      </c>
      <c r="V19" s="5">
        <v>1</v>
      </c>
      <c r="W19" s="5">
        <v>1</v>
      </c>
      <c r="X19" s="10">
        <v>1</v>
      </c>
      <c r="Y19" s="5">
        <v>1</v>
      </c>
      <c r="Z19" s="11">
        <v>1</v>
      </c>
    </row>
  </sheetData>
  <mergeCells count="4">
    <mergeCell ref="R2:U2"/>
    <mergeCell ref="V2:Z2"/>
    <mergeCell ref="R3:U3"/>
    <mergeCell ref="A14:G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Mazuera</dc:creator>
  <cp:lastModifiedBy>Manuel Mazuera</cp:lastModifiedBy>
  <dcterms:created xsi:type="dcterms:W3CDTF">2024-12-17T15:58:31Z</dcterms:created>
  <dcterms:modified xsi:type="dcterms:W3CDTF">2024-12-17T20:16:45Z</dcterms:modified>
</cp:coreProperties>
</file>